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Dashboard" sheetId="3" state="visible" r:id="rId3"/>
  </sheets>
  <externalReferences>
    <externalReference r:id="rIdLink1"/>
  </externalReferences>
  <definedNames>
    <definedName name="StartRevenue">Inputs!$B$2</definedName>
    <definedName name="Growth">Inputs!$B$3</definedName>
    <definedName name="CostRatio">Inputs!$B$4</definedName>
    <definedName name="OpexGrowth">Inputs!$B$5</definedName>
    <definedName name="StartOpex">Inputs!$B$6</definedName>
    <definedName name="TaxRate">Inputs!$B$8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Link1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file:///C:/Users/analyst/Downloads/fx_rat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Rates"/>
    </sheetNames>
    <sheetDataSet>
      <sheetData sheetId="0">
        <row r="2">
          <cell r="B2">
            <v>1.0842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Revenue 2025 (EUR k)</t>
        </is>
      </c>
      <c r="B2" t="n">
        <v>1200</v>
      </c>
    </row>
    <row r="3">
      <c r="A3" t="inlineStr">
        <is>
          <t>Revenue growth</t>
        </is>
      </c>
      <c r="B3" t="n">
        <v>0.08</v>
      </c>
    </row>
    <row r="4">
      <c r="A4" t="inlineStr">
        <is>
          <t>Cost of sales ratio</t>
        </is>
      </c>
      <c r="B4" t="n">
        <v>0.42</v>
      </c>
    </row>
    <row r="5">
      <c r="A5" t="inlineStr">
        <is>
          <t>Opex growth</t>
        </is>
      </c>
      <c r="B5" t="n">
        <v>0.03</v>
      </c>
    </row>
    <row r="6">
      <c r="A6" t="inlineStr">
        <is>
          <t>Opex 2025 (EUR k)</t>
        </is>
      </c>
      <c r="B6" t="n">
        <v>310</v>
      </c>
    </row>
    <row r="7">
      <c r="A7" t="inlineStr">
        <is>
          <t>Tax rate</t>
        </is>
      </c>
      <c r="B7" t="n">
        <v>0.25</v>
      </c>
    </row>
    <row r="8">
      <c r="A8" t="inlineStr">
        <is>
          <t>Tax rate from 2027</t>
        </is>
      </c>
      <c r="B8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EUR k</t>
        </is>
      </c>
      <c r="B1" t="n">
        <v>2025</v>
      </c>
      <c r="C1">
        <f>B1+1</f>
        <v/>
      </c>
      <c r="D1">
        <f>C1+1</f>
        <v/>
      </c>
      <c r="E1">
        <f>D1+1</f>
        <v/>
      </c>
      <c r="F1">
        <f>E1+1</f>
        <v/>
      </c>
      <c r="G1">
        <f>F1+1</f>
        <v/>
      </c>
    </row>
    <row r="2">
      <c r="A2" t="inlineStr">
        <is>
          <t>Revenue</t>
        </is>
      </c>
      <c r="B2">
        <f>StartRevenue</f>
        <v/>
      </c>
      <c r="C2">
        <f>B2*(1+Growth)</f>
        <v/>
      </c>
      <c r="D2">
        <f>C2*(1+Growth)</f>
        <v/>
      </c>
      <c r="E2">
        <f>D2*(1+Growth)</f>
        <v/>
      </c>
      <c r="F2" t="n">
        <v>1714</v>
      </c>
      <c r="G2">
        <f>F2*(1+Growth)</f>
        <v/>
      </c>
    </row>
    <row r="3">
      <c r="A3" t="inlineStr">
        <is>
          <t>Cost of sales</t>
        </is>
      </c>
      <c r="B3">
        <f>B2*CostRatio</f>
        <v/>
      </c>
      <c r="C3">
        <f>C2*CostRatio</f>
        <v/>
      </c>
      <c r="D3">
        <f>D2*CostRatio</f>
        <v/>
      </c>
      <c r="E3">
        <f>E2*0.42</f>
        <v/>
      </c>
      <c r="F3">
        <f>F2*CostRatio</f>
        <v/>
      </c>
      <c r="G3">
        <f>G2*CostRatio</f>
        <v/>
      </c>
    </row>
    <row r="4">
      <c r="A4" t="inlineStr">
        <is>
          <t>Gross profit</t>
        </is>
      </c>
      <c r="B4">
        <f>B2-B3</f>
        <v/>
      </c>
      <c r="C4">
        <f>C2-C3</f>
        <v/>
      </c>
      <c r="D4">
        <f>D2-D3</f>
        <v/>
      </c>
      <c r="E4">
        <f>E2-E3</f>
        <v/>
      </c>
      <c r="F4">
        <f>F2-F3</f>
        <v/>
      </c>
      <c r="G4">
        <f>G2-G3</f>
        <v/>
      </c>
    </row>
    <row r="5">
      <c r="A5" t="inlineStr">
        <is>
          <t>Opex</t>
        </is>
      </c>
      <c r="B5">
        <f>StartOpex</f>
        <v/>
      </c>
      <c r="C5">
        <f>B5*(1+OpexGrowth)</f>
        <v/>
      </c>
      <c r="D5">
        <f>C5*(1+OpexGrowth)</f>
        <v/>
      </c>
      <c r="E5">
        <f>D5*(1+OpexGrowth)</f>
        <v/>
      </c>
      <c r="F5">
        <f>E5*(1+OpexGrowth)</f>
        <v/>
      </c>
      <c r="G5">
        <f>F5*(1+OpexGrowth)</f>
        <v/>
      </c>
    </row>
    <row r="6">
      <c r="A6" t="inlineStr">
        <is>
          <t>Marketing</t>
        </is>
      </c>
      <c r="B6" t="n">
        <v>40</v>
      </c>
      <c r="C6" t="n">
        <v>45</v>
      </c>
      <c r="D6" t="n">
        <v>50</v>
      </c>
      <c r="E6" t="n">
        <v>55</v>
      </c>
      <c r="F6" t="n">
        <v>60</v>
      </c>
      <c r="G6" t="n">
        <v>65</v>
      </c>
    </row>
    <row r="7">
      <c r="A7" t="inlineStr">
        <is>
          <t>EBITDA</t>
        </is>
      </c>
      <c r="B7">
        <f>B4-B5-B6</f>
        <v/>
      </c>
      <c r="C7">
        <f>C4-C5-C6</f>
        <v/>
      </c>
      <c r="D7">
        <f>D4-D5-D6</f>
        <v/>
      </c>
      <c r="E7">
        <f>E4-E5-E6</f>
        <v/>
      </c>
      <c r="F7">
        <f>F4-F5-F6</f>
        <v/>
      </c>
      <c r="G7">
        <f>G4-G5-G6</f>
        <v/>
      </c>
    </row>
    <row r="8">
      <c r="A8" t="inlineStr">
        <is>
          <t>Tax</t>
        </is>
      </c>
      <c r="B8">
        <f>MAX(0,B7*TaxRate)</f>
        <v/>
      </c>
      <c r="C8">
        <f>MAX(0,C7*TaxRate)</f>
        <v/>
      </c>
      <c r="D8">
        <f>MAX(0,D7*TaxRate)</f>
        <v/>
      </c>
      <c r="E8">
        <f>MAX(0,E7*TaxRate)</f>
        <v/>
      </c>
      <c r="F8">
        <f>MAX(0,F7*TaxRate)</f>
        <v/>
      </c>
      <c r="G8">
        <f>MAX(0,(G7-Dashboard!B6)*TaxRate)</f>
        <v/>
      </c>
    </row>
    <row r="9">
      <c r="A9" t="inlineStr">
        <is>
          <t>Net income</t>
        </is>
      </c>
      <c r="B9">
        <f>B7-B8</f>
        <v/>
      </c>
      <c r="C9">
        <f>C7-C8</f>
        <v/>
      </c>
      <c r="D9">
        <f>D7-D8</f>
        <v/>
      </c>
      <c r="E9">
        <f>E7-E8</f>
        <v/>
      </c>
      <c r="F9">
        <f>F7-F8</f>
        <v/>
      </c>
      <c r="G9">
        <f>G7-G8</f>
        <v/>
      </c>
    </row>
    <row r="10"/>
    <row r="11">
      <c r="A11" t="inlineStr">
        <is>
          <t>Gross margin</t>
        </is>
      </c>
      <c r="B11">
        <f>IF(B2=0,0,B4/B2)</f>
        <v/>
      </c>
      <c r="C11">
        <f>IF(C2=0,0,C4/C2)</f>
        <v/>
      </c>
      <c r="D11">
        <f>IF(D2=0,0,D4/D2)</f>
        <v/>
      </c>
      <c r="E11">
        <f>IF(E2=0,0,E4/E2)</f>
        <v/>
      </c>
      <c r="F11">
        <f>IF(F2=0,0,F4/F2)</f>
        <v/>
      </c>
      <c r="G11">
        <f>IF(G2=0,0,G4/G2)</f>
        <v/>
      </c>
    </row>
    <row r="1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(EUR k)</t>
        </is>
      </c>
    </row>
    <row r="2">
      <c r="A2" t="inlineStr">
        <is>
          <t>Revenue 2025-2030</t>
        </is>
      </c>
      <c r="B2">
        <f>SUM(Model!B2:G2)</f>
        <v/>
      </c>
    </row>
    <row r="3">
      <c r="A3" t="inlineStr">
        <is>
          <t>EBITDA 2025-2030</t>
        </is>
      </c>
      <c r="B3">
        <f>SUM(Model!B7:G7)</f>
        <v/>
      </c>
    </row>
    <row r="4">
      <c r="A4" t="inlineStr">
        <is>
          <t>Net income 2030</t>
        </is>
      </c>
      <c r="B4">
        <f>Model!G9</f>
        <v/>
      </c>
    </row>
    <row r="5">
      <c r="A5" t="inlineStr">
        <is>
          <t>Average gross margin</t>
        </is>
      </c>
      <c r="B5">
        <f>AVERAGE(Model!B11:G11)</f>
        <v/>
      </c>
    </row>
    <row r="6">
      <c r="A6" t="inlineStr">
        <is>
          <t>Bonus pool (10% of 2030 net income)</t>
        </is>
      </c>
      <c r="B6">
        <f>Model!G9*0.1</f>
        <v/>
      </c>
    </row>
    <row r="7">
      <c r="A7" t="inlineStr">
        <is>
          <t>EUR/USD (from the treasury file)</t>
        </is>
      </c>
      <c r="B7">
        <f>[1]Rates!$B$2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2026-09-24T09:49:49Z</dcterms:created>
  <dcterms:modified xsi:type="dcterms:W3CDTF">2026-09-24T09:49:49Z</dcterms:modified>
</cp:coreProperties>
</file>