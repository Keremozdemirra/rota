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" sheetId="1" state="visible" r:id="rId1"/>
    <sheet xmlns:r="http://schemas.openxmlformats.org/officeDocument/2006/relationships" name="KPIs" sheetId="2" state="visible" r:id="rId2"/>
    <sheet xmlns:r="http://schemas.openxmlformats.org/officeDocument/2006/relationships" name="Segments" sheetId="3" state="visible" r:id="rId3"/>
  </sheets>
  <definedNames/>
  <calcPr calcId="124519" fullCalcOnLoad="1"/>
</workbook>
</file>

<file path=xl/sharedStrings.xml><?xml version="1.0" encoding="utf-8"?>
<sst xmlns="http://schemas.openxmlformats.org/spreadsheetml/2006/main" count="23" uniqueCount="23">
  <si>
    <t>P&amp;L (€)</t>
  </si>
  <si>
    <t>2026F</t>
  </si>
  <si>
    <t>Revenue</t>
  </si>
  <si>
    <t>EBITDA</t>
  </si>
  <si>
    <t>EBITDA margin</t>
  </si>
  <si>
    <t>Net debt</t>
  </si>
  <si>
    <t>Net debt / EBITDA</t>
  </si>
  <si>
    <t>Revenue growth</t>
  </si>
  <si>
    <t>KPI</t>
  </si>
  <si>
    <t>Customers</t>
  </si>
  <si>
    <t>Renewal rate</t>
  </si>
  <si>
    <t>Recurring revenue share</t>
  </si>
  <si>
    <t>Headcount (FTE)</t>
  </si>
  <si>
    <t>Net promoter score</t>
  </si>
  <si>
    <t>Model date</t>
  </si>
  <si>
    <t>Segment</t>
  </si>
  <si>
    <t>Revenue 2025 (€m)</t>
  </si>
  <si>
    <t>EBITDA 2025 (€m)</t>
  </si>
  <si>
    <t>Share of revenue</t>
  </si>
  <si>
    <t>DACH</t>
  </si>
  <si>
    <t>Nordics</t>
  </si>
  <si>
    <t>Benelux</t>
  </si>
  <si>
    <t>Total</t>
  </si>
</sst>
</file>

<file path=xl/styles.xml><?xml version="1.0" encoding="utf-8"?>
<styleSheet xmlns="http://schemas.openxmlformats.org/spreadsheetml/2006/main">
  <numFmts count="3">
    <numFmt numFmtId="164" formatCode="0.0%"/>
    <numFmt numFmtId="165" formatCode="0.0&quot;x&quot;"/>
    <numFmt numFmtId="166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Relationship Id="rIdSst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n">
        <v>2024</v>
      </c>
      <c r="C1" t="n">
        <v>2025</v>
      </c>
      <c r="D1" t="s">
        <v>1</v>
      </c>
    </row>
    <row r="2">
      <c r="A2" t="s">
        <v>2</v>
      </c>
      <c r="B2" t="n">
        <v>3874200000</v>
      </c>
      <c r="C2" t="n">
        <v>4213500000</v>
      </c>
      <c r="D2" t="n">
        <v>4590000000</v>
      </c>
    </row>
    <row r="3">
      <c r="A3" t="s">
        <v>3</v>
      </c>
      <c r="B3" t="n">
        <v>541000000</v>
      </c>
      <c r="C3" t="n">
        <v>598300000</v>
      </c>
      <c r="D3" t="n">
        <v>661000000</v>
      </c>
    </row>
    <row r="4">
      <c r="A4" t="s">
        <v>4</v>
      </c>
      <c r="B4" s="1">
        <f>B3/B2</f>
        <v>0.13964173248670694</v>
      </c>
      <c r="C4" s="1">
        <f>C3/C2</f>
        <v>0.14199596534947193</v>
      </c>
      <c r="D4" s="1">
        <f>D3/D2</f>
        <v>0.1440087145969499</v>
      </c>
    </row>
    <row r="5">
      <c r="A5" t="s">
        <v>5</v>
      </c>
      <c r="B5" t="n">
        <v>1120000000</v>
      </c>
      <c r="C5" t="n">
        <v>1050000000</v>
      </c>
      <c r="D5" t="n">
        <v>980000000</v>
      </c>
    </row>
    <row r="6">
      <c r="A6" t="s">
        <v>6</v>
      </c>
      <c r="B6" s="2">
        <f>B5/B3</f>
        <v>2.0702402957486137</v>
      </c>
      <c r="C6" s="2">
        <f>C5/C3</f>
        <v>1.7549724218619422</v>
      </c>
      <c r="D6" s="2">
        <f>D5/D3</f>
        <v>1.4826021180030258</v>
      </c>
    </row>
    <row r="7">
      <c r="A7" t="s">
        <v>7</v>
      </c>
      <c r="B7" s="1" t="n"/>
      <c r="C7" s="1">
        <f>C2/B2-1</f>
        <v>0.08757937122502701</v>
      </c>
      <c r="D7" s="1">
        <f>D2/C2-1</f>
        <v>0.08935564257742978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s">
        <v>8</v>
      </c>
      <c r="B1" t="n">
        <v>2024</v>
      </c>
      <c r="C1" t="n">
        <v>2025</v>
      </c>
    </row>
    <row r="2">
      <c r="A2" t="s">
        <v>9</v>
      </c>
      <c r="B2" t="n">
        <v>18420</v>
      </c>
      <c r="C2" t="n">
        <v>21050</v>
      </c>
    </row>
    <row r="3">
      <c r="A3" t="s">
        <v>10</v>
      </c>
      <c r="B3" t="n">
        <v>0.5931</v>
      </c>
      <c r="C3" t="n">
        <v>0.6149</v>
      </c>
    </row>
    <row r="4">
      <c r="A4" t="s">
        <v>11</v>
      </c>
      <c r="B4" t="n">
        <v>0.6008</v>
      </c>
      <c r="C4" t="n">
        <v>0.6312</v>
      </c>
    </row>
    <row r="5">
      <c r="A5" t="s">
        <v>12</v>
      </c>
      <c r="B5" t="n">
        <v>1240</v>
      </c>
      <c r="C5" t="n">
        <v>1310</v>
      </c>
    </row>
    <row r="6">
      <c r="A6" t="s">
        <v>13</v>
      </c>
      <c r="B6" t="n">
        <v>38</v>
      </c>
      <c r="C6" t="n">
        <v>42</v>
      </c>
    </row>
    <row r="7">
      <c r="A7" t="s">
        <v>14</v>
      </c>
      <c r="B7" s="3" t="n">
        <v>46022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s">
        <v>15</v>
      </c>
      <c r="B1" t="s">
        <v>16</v>
      </c>
      <c r="C1" t="s">
        <v>17</v>
      </c>
      <c r="D1" t="s">
        <v>18</v>
      </c>
    </row>
    <row r="2">
      <c r="A2" t="s">
        <v>19</v>
      </c>
      <c r="B2" t="n">
        <v>2105.2</v>
      </c>
      <c r="C2" t="n">
        <v>312.4</v>
      </c>
      <c r="D2">
        <f>B2/B$5</f>
        <v>0.49963213480479407</v>
      </c>
    </row>
    <row r="3">
      <c r="A3" t="s">
        <v>20</v>
      </c>
      <c r="B3" t="n">
        <v>1187.4</v>
      </c>
      <c r="C3" t="n">
        <v>170.1</v>
      </c>
      <c r="D3">
        <f>B3/B$5</f>
        <v>0.28180847276610893</v>
      </c>
    </row>
    <row r="4">
      <c r="A4" t="s">
        <v>21</v>
      </c>
      <c r="B4" t="n">
        <v>920.9</v>
      </c>
      <c r="C4" t="n">
        <v>115.8</v>
      </c>
      <c r="D4">
        <f>B4/B$5</f>
        <v>0.21855939242909694</v>
      </c>
    </row>
    <row r="5">
      <c r="A5" t="s">
        <v>22</v>
      </c>
      <c r="B5">
        <f>SUM(B2:B4)</f>
        <v>4213.5</v>
      </c>
      <c r="C5">
        <f>SUM(C2:C4)</f>
        <v>598.3</v>
      </c>
      <c r="D5">
        <f>SUM(D2:D4)</f>
        <v>1.0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2026-09-24T09:41:25Z</dcterms:created>
  <dcterms:modified xmlns:dcterms="http://purl.org/dc/terms/" xmlns:xsi="http://www.w3.org/2001/XMLSchema-instance" xsi:type="dcterms:W3CDTF">2026-09-24T09:41:25Z</dcterms:modified>
</cp:coreProperties>
</file>